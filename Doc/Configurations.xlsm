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an\AppData\Local\Temp\"/>
    </mc:Choice>
  </mc:AlternateContent>
  <xr:revisionPtr revIDLastSave="0" documentId="13_ncr:1_{69CB4E02-72BF-42E0-8300-9DB9321425D2}" xr6:coauthVersionLast="43" xr6:coauthVersionMax="43" xr10:uidLastSave="{00000000-0000-0000-0000-000000000000}"/>
  <bookViews>
    <workbookView xWindow="14040" yWindow="270" windowWidth="14670" windowHeight="15330" firstSheet="2" activeTab="2" xr2:uid="{00000000-000D-0000-FFFF-FFFF00000000}"/>
  </bookViews>
  <sheets>
    <sheet name="定时器分配" sheetId="13" state="hidden" r:id="rId1"/>
    <sheet name="中断优先级配置" sheetId="14" state="hidden" r:id="rId2"/>
    <sheet name="任务板引脚统计" sheetId="15" r:id="rId3"/>
  </sheets>
  <functionGroups builtInGroupCount="19"/>
  <calcPr calcId="191029"/>
</workbook>
</file>

<file path=xl/calcChain.xml><?xml version="1.0" encoding="utf-8"?>
<calcChain xmlns="http://schemas.openxmlformats.org/spreadsheetml/2006/main">
  <c r="G15" i="13" l="1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</calcChain>
</file>

<file path=xl/sharedStrings.xml><?xml version="1.0" encoding="utf-8"?>
<sst xmlns="http://schemas.openxmlformats.org/spreadsheetml/2006/main" count="149" uniqueCount="96">
  <si>
    <t>总线</t>
    <phoneticPr fontId="4" type="noConversion"/>
  </si>
  <si>
    <t>时钟（MHz）</t>
    <phoneticPr fontId="4" type="noConversion"/>
  </si>
  <si>
    <t>TIMx</t>
    <phoneticPr fontId="4" type="noConversion"/>
  </si>
  <si>
    <t>功能</t>
    <phoneticPr fontId="4" type="noConversion"/>
  </si>
  <si>
    <t>Period</t>
    <phoneticPr fontId="4" type="noConversion"/>
  </si>
  <si>
    <t>Prescaler</t>
    <phoneticPr fontId="4" type="noConversion"/>
  </si>
  <si>
    <t>定时时间（ms）</t>
    <phoneticPr fontId="4" type="noConversion"/>
  </si>
  <si>
    <t>APB1</t>
    <phoneticPr fontId="4" type="noConversion"/>
  </si>
  <si>
    <t>TIM1</t>
    <phoneticPr fontId="4" type="noConversion"/>
  </si>
  <si>
    <t>-</t>
    <phoneticPr fontId="4" type="noConversion"/>
  </si>
  <si>
    <t>APB2</t>
    <phoneticPr fontId="4" type="noConversion"/>
  </si>
  <si>
    <t>TIM2</t>
    <phoneticPr fontId="4" type="noConversion"/>
  </si>
  <si>
    <t>TIM3</t>
  </si>
  <si>
    <t>ZigBee/WIFI 数据检查</t>
    <phoneticPr fontId="4" type="noConversion"/>
  </si>
  <si>
    <t>TIM4</t>
  </si>
  <si>
    <t>数据通道（未启用）</t>
    <phoneticPr fontId="4" type="noConversion"/>
  </si>
  <si>
    <t>TIM5</t>
  </si>
  <si>
    <t>Debug（白卡检测）</t>
    <phoneticPr fontId="4" type="noConversion"/>
  </si>
  <si>
    <t>TIM6</t>
  </si>
  <si>
    <t>超声波（计时）</t>
    <phoneticPr fontId="4" type="noConversion"/>
  </si>
  <si>
    <t>TIM7</t>
  </si>
  <si>
    <t>CAN总线收发检测</t>
    <phoneticPr fontId="4" type="noConversion"/>
  </si>
  <si>
    <t>TIM8</t>
  </si>
  <si>
    <t>TIM9</t>
  </si>
  <si>
    <t>路况检测</t>
    <phoneticPr fontId="4" type="noConversion"/>
  </si>
  <si>
    <t>TIM10</t>
  </si>
  <si>
    <t>全局时间</t>
    <phoneticPr fontId="4" type="noConversion"/>
  </si>
  <si>
    <t>TIM11</t>
  </si>
  <si>
    <t>TIM12</t>
  </si>
  <si>
    <t>TIM13</t>
  </si>
  <si>
    <t>TIM14</t>
  </si>
  <si>
    <t>响应顺序</t>
    <phoneticPr fontId="4" type="noConversion"/>
  </si>
  <si>
    <t>中断号</t>
    <phoneticPr fontId="4" type="noConversion"/>
  </si>
  <si>
    <t>抢占</t>
    <phoneticPr fontId="4" type="noConversion"/>
  </si>
  <si>
    <t>响应</t>
    <phoneticPr fontId="4" type="noConversion"/>
  </si>
  <si>
    <t xml:space="preserve"> TIM7_IRQn                 </t>
  </si>
  <si>
    <t xml:space="preserve"> CAN总线收发检测     </t>
  </si>
  <si>
    <t xml:space="preserve"> TIM1_BRK_TIM9_IRQn(TIM9)  </t>
  </si>
  <si>
    <t xml:space="preserve"> 路况监测            </t>
  </si>
  <si>
    <t xml:space="preserve"> TIM1_UP_TIM10_IRQn(TIM10) </t>
  </si>
  <si>
    <t xml:space="preserve"> 全局时间            </t>
  </si>
  <si>
    <t xml:space="preserve"> UART4_IRQn                </t>
  </si>
  <si>
    <t xml:space="preserve"> A72 串口            </t>
  </si>
  <si>
    <t xml:space="preserve"> UART2_IRQn                </t>
  </si>
  <si>
    <t xml:space="preserve"> WIFI 串口           </t>
    <phoneticPr fontId="4" type="noConversion"/>
  </si>
  <si>
    <t xml:space="preserve"> USART6_IRQn               </t>
  </si>
  <si>
    <t xml:space="preserve"> 语音模块            </t>
  </si>
  <si>
    <t xml:space="preserve"> TIM6_DAC_IRQn(TIM6)       </t>
  </si>
  <si>
    <t xml:space="preserve"> 超声波（时间测量）  </t>
  </si>
  <si>
    <t xml:space="preserve"> EXTI4_IRQn(PB4)           </t>
  </si>
  <si>
    <t xml:space="preserve"> 超声波（触发）      </t>
  </si>
  <si>
    <t xml:space="preserve"> TIM3_IRQn                 </t>
  </si>
  <si>
    <t xml:space="preserve"> ZigBee/WIFI数据检查 </t>
  </si>
  <si>
    <t xml:space="preserve"> TIM5_IRQn                 </t>
  </si>
  <si>
    <t xml:space="preserve"> Debug（白卡检测）   </t>
  </si>
  <si>
    <t xml:space="preserve"> UART1_IRQn                </t>
  </si>
  <si>
    <t xml:space="preserve"> 未使用              </t>
  </si>
  <si>
    <t xml:space="preserve"> TIM4_IRQn                 </t>
  </si>
  <si>
    <t xml:space="preserve"> 数据通道（未使用）  </t>
  </si>
  <si>
    <t>器件名</t>
    <phoneticPr fontId="4" type="noConversion"/>
  </si>
  <si>
    <t>接口协议</t>
    <phoneticPr fontId="4" type="noConversion"/>
  </si>
  <si>
    <t>引脚功能</t>
    <phoneticPr fontId="4" type="noConversion"/>
  </si>
  <si>
    <t>端口</t>
    <phoneticPr fontId="4" type="noConversion"/>
  </si>
  <si>
    <t>I/O类型</t>
    <phoneticPr fontId="4" type="noConversion"/>
  </si>
  <si>
    <t>引脚可配置</t>
    <phoneticPr fontId="4" type="noConversion"/>
  </si>
  <si>
    <t>备注</t>
    <phoneticPr fontId="4" type="noConversion"/>
  </si>
  <si>
    <t>BH1750</t>
    <phoneticPr fontId="4" type="noConversion"/>
  </si>
  <si>
    <t>IIC</t>
    <phoneticPr fontId="4" type="noConversion"/>
  </si>
  <si>
    <t>SCL</t>
    <phoneticPr fontId="4" type="noConversion"/>
  </si>
  <si>
    <t>PB6</t>
    <phoneticPr fontId="4" type="noConversion"/>
  </si>
  <si>
    <t>O</t>
    <phoneticPr fontId="4" type="noConversion"/>
  </si>
  <si>
    <t>是</t>
    <phoneticPr fontId="4" type="noConversion"/>
  </si>
  <si>
    <t>SDA</t>
    <phoneticPr fontId="4" type="noConversion"/>
  </si>
  <si>
    <t>PB7</t>
    <phoneticPr fontId="4" type="noConversion"/>
  </si>
  <si>
    <t>I/O</t>
    <phoneticPr fontId="4" type="noConversion"/>
  </si>
  <si>
    <t>红外</t>
    <phoneticPr fontId="4" type="noConversion"/>
  </si>
  <si>
    <t>无</t>
    <phoneticPr fontId="4" type="noConversion"/>
  </si>
  <si>
    <t>红外发射</t>
    <phoneticPr fontId="4" type="noConversion"/>
  </si>
  <si>
    <t>PF11</t>
    <phoneticPr fontId="4" type="noConversion"/>
  </si>
  <si>
    <t>SYN7318</t>
    <phoneticPr fontId="4" type="noConversion"/>
  </si>
  <si>
    <t>UART</t>
    <phoneticPr fontId="4" type="noConversion"/>
  </si>
  <si>
    <t>TX</t>
    <phoneticPr fontId="4" type="noConversion"/>
  </si>
  <si>
    <t>PC6</t>
    <phoneticPr fontId="4" type="noConversion"/>
  </si>
  <si>
    <t>否</t>
    <phoneticPr fontId="4" type="noConversion"/>
  </si>
  <si>
    <t>有协议</t>
    <phoneticPr fontId="4" type="noConversion"/>
  </si>
  <si>
    <t>RX</t>
    <phoneticPr fontId="4" type="noConversion"/>
  </si>
  <si>
    <t>PC7</t>
    <phoneticPr fontId="4" type="noConversion"/>
  </si>
  <si>
    <t>I</t>
    <phoneticPr fontId="4" type="noConversion"/>
  </si>
  <si>
    <t>复位</t>
    <phoneticPr fontId="4" type="noConversion"/>
  </si>
  <si>
    <t>PB9</t>
    <phoneticPr fontId="4" type="noConversion"/>
  </si>
  <si>
    <t>超声波</t>
    <phoneticPr fontId="4" type="noConversion"/>
  </si>
  <si>
    <t>发射</t>
    <phoneticPr fontId="4" type="noConversion"/>
  </si>
  <si>
    <t>PA15</t>
    <phoneticPr fontId="4" type="noConversion"/>
  </si>
  <si>
    <t>接收</t>
    <phoneticPr fontId="4" type="noConversion"/>
  </si>
  <si>
    <t>PB4</t>
    <phoneticPr fontId="4" type="noConversion"/>
  </si>
  <si>
    <t>有中断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</si>
</sst>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11"/>
      <color theme="0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" fillId="0" borderId="0"/>
  </cellStyleXfs>
  <cellXfs count="8">
    <xf numFmtId="0" fontId="0" fillId="0" borderId="0" xfId="0"/>
    <xf numFmtId="0" fontId="1" fillId="0" borderId="0" xfId="4" applyAlignment="1">
      <alignment horizontal="center"/>
    </xf>
    <xf numFmtId="0" fontId="1" fillId="0" borderId="0" xfId="4"/>
    <xf numFmtId="0" fontId="2" fillId="2" borderId="1" xfId="1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3" fillId="3" borderId="1" xfId="2" applyBorder="1" applyAlignment="1">
      <alignment horizontal="center" vertical="center"/>
    </xf>
    <xf numFmtId="0" fontId="3" fillId="3" borderId="1" xfId="2" applyBorder="1" applyAlignment="1">
      <alignment horizontal="center" vertical="center"/>
    </xf>
  </cellXfs>
  <cellStyles count="5">
    <cellStyle name="20% - 着色 1" xfId="2" builtinId="30"/>
    <cellStyle name="40% - 着色 1" xfId="3" builtinId="31"/>
    <cellStyle name="常规" xfId="0" builtinId="0"/>
    <cellStyle name="常规 2" xfId="4" xr:uid="{259697A3-324B-4476-95B6-85A2E3A661AB}"/>
    <cellStyle name="着色 1" xfId="1" builtinId="29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5A31F0-E9AC-4EF1-AE98-1DEA1ED39081}" name="表4" displayName="表4" ref="A1:G15" totalsRowShown="0" headerRowDxfId="9" dataDxfId="8">
  <autoFilter ref="A1:G15" xr:uid="{EF62F0BC-405A-47F5-96A1-D86BB8465FA9}"/>
  <tableColumns count="7">
    <tableColumn id="1" xr3:uid="{2C4B8015-906A-4E58-89BE-81DEB5094EEF}" name="总线" dataDxfId="7"/>
    <tableColumn id="2" xr3:uid="{4EC142DC-B8A8-45D1-B22B-D46E2BB56FAB}" name="时钟（MHz）" dataDxfId="6"/>
    <tableColumn id="3" xr3:uid="{B9B5F41E-A73D-4E6C-82FA-57336153B8AD}" name="TIMx"/>
    <tableColumn id="4" xr3:uid="{5532BF21-7280-4460-9C02-C305BFA645DF}" name="功能"/>
    <tableColumn id="5" xr3:uid="{6B829357-5C35-4209-A953-987B8C350CF4}" name="Period" dataDxfId="5"/>
    <tableColumn id="6" xr3:uid="{61E867DC-DF4C-4E28-90C8-D4B15F6AB120}" name="Prescaler" dataDxfId="4"/>
    <tableColumn id="7" xr3:uid="{7F70FB0D-705E-4AF0-A438-70D846B61003}" name="定时时间（ms）" dataDxfId="3">
      <calculatedColumnFormula>((1+E2)*(1+F2)/(B2*1000000))*1000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EDEA4C-EE84-4A59-A396-103CFAC13471}" name="表3" displayName="表3" ref="A1:E13" totalsRowShown="0">
  <autoFilter ref="A1:E13" xr:uid="{AAA8DDE6-7F6D-42EA-907C-C924B90A64D4}"/>
  <tableColumns count="5">
    <tableColumn id="1" xr3:uid="{C1C0E48A-F9E8-4B77-B90B-965201C460A4}" name="响应顺序" dataDxfId="2"/>
    <tableColumn id="2" xr3:uid="{6E782921-5960-4837-B8DD-94A6B258F77B}" name="中断号"/>
    <tableColumn id="3" xr3:uid="{D6C3AFB3-4027-4A32-9A53-CFE57312BE25}" name="功能"/>
    <tableColumn id="4" xr3:uid="{E76351DC-A6FF-4068-98AD-B1BD493D56D3}" name="抢占" dataDxfId="1"/>
    <tableColumn id="5" xr3:uid="{8FD1A4C7-3EA6-4F16-83DB-A9B7A73ED282}" name="响应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BAC3B-8DE8-4F5E-9144-5BAB044C6E2F}">
  <dimension ref="A1:G15"/>
  <sheetViews>
    <sheetView workbookViewId="0">
      <selection activeCell="C17" sqref="C17"/>
    </sheetView>
  </sheetViews>
  <sheetFormatPr defaultRowHeight="13.5" x14ac:dyDescent="0.15"/>
  <cols>
    <col min="1" max="1" width="9" style="1"/>
    <col min="2" max="2" width="14" style="1" customWidth="1"/>
    <col min="3" max="3" width="9" style="2"/>
    <col min="4" max="4" width="21.375" style="2" customWidth="1"/>
    <col min="5" max="5" width="9" style="1"/>
    <col min="6" max="6" width="10" style="1" customWidth="1"/>
    <col min="7" max="7" width="16.375" style="1" customWidth="1"/>
    <col min="8" max="16384" width="9" style="2"/>
  </cols>
  <sheetData>
    <row r="1" spans="1:7" x14ac:dyDescent="0.1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</row>
    <row r="2" spans="1:7" x14ac:dyDescent="0.15">
      <c r="A2" s="1" t="s">
        <v>7</v>
      </c>
      <c r="B2" s="1">
        <v>168</v>
      </c>
      <c r="C2" s="2" t="s">
        <v>8</v>
      </c>
      <c r="D2" s="2" t="s">
        <v>9</v>
      </c>
      <c r="E2" s="1" t="s">
        <v>9</v>
      </c>
      <c r="F2" s="1" t="s">
        <v>9</v>
      </c>
      <c r="G2" s="1" t="e">
        <f>((1+E2)*(1+F2)/(B2*1000000))*1000</f>
        <v>#VALUE!</v>
      </c>
    </row>
    <row r="3" spans="1:7" x14ac:dyDescent="0.15">
      <c r="A3" s="1" t="s">
        <v>10</v>
      </c>
      <c r="B3" s="1">
        <v>84</v>
      </c>
      <c r="C3" s="2" t="s">
        <v>11</v>
      </c>
      <c r="D3" s="2" t="s">
        <v>9</v>
      </c>
      <c r="E3" s="1" t="s">
        <v>9</v>
      </c>
      <c r="F3" s="1" t="s">
        <v>9</v>
      </c>
      <c r="G3" s="1" t="e">
        <f t="shared" ref="G3:G15" si="0">((1+E3)*(1+F3)/(B3*1000000))*1000</f>
        <v>#VALUE!</v>
      </c>
    </row>
    <row r="4" spans="1:7" x14ac:dyDescent="0.15">
      <c r="A4" s="1" t="s">
        <v>10</v>
      </c>
      <c r="B4" s="1">
        <v>84</v>
      </c>
      <c r="C4" s="2" t="s">
        <v>12</v>
      </c>
      <c r="D4" s="2" t="s">
        <v>13</v>
      </c>
      <c r="E4" s="1">
        <v>167</v>
      </c>
      <c r="F4" s="1">
        <v>1999</v>
      </c>
      <c r="G4" s="1">
        <f t="shared" si="0"/>
        <v>4</v>
      </c>
    </row>
    <row r="5" spans="1:7" x14ac:dyDescent="0.15">
      <c r="A5" s="1" t="s">
        <v>10</v>
      </c>
      <c r="B5" s="1">
        <v>84</v>
      </c>
      <c r="C5" s="2" t="s">
        <v>14</v>
      </c>
      <c r="D5" s="2" t="s">
        <v>15</v>
      </c>
      <c r="E5" s="1" t="s">
        <v>9</v>
      </c>
      <c r="F5" s="1" t="s">
        <v>9</v>
      </c>
      <c r="G5" s="1" t="e">
        <f t="shared" si="0"/>
        <v>#VALUE!</v>
      </c>
    </row>
    <row r="6" spans="1:7" x14ac:dyDescent="0.15">
      <c r="A6" s="1" t="s">
        <v>10</v>
      </c>
      <c r="B6" s="1">
        <v>84</v>
      </c>
      <c r="C6" s="2" t="s">
        <v>16</v>
      </c>
      <c r="D6" s="2" t="s">
        <v>17</v>
      </c>
      <c r="E6" s="1">
        <v>16799</v>
      </c>
      <c r="F6" s="1">
        <v>1999</v>
      </c>
      <c r="G6" s="1">
        <f t="shared" si="0"/>
        <v>400</v>
      </c>
    </row>
    <row r="7" spans="1:7" x14ac:dyDescent="0.15">
      <c r="A7" s="1" t="s">
        <v>10</v>
      </c>
      <c r="B7" s="1">
        <v>84</v>
      </c>
      <c r="C7" s="2" t="s">
        <v>18</v>
      </c>
      <c r="D7" s="2" t="s">
        <v>19</v>
      </c>
      <c r="E7" s="1">
        <v>9</v>
      </c>
      <c r="F7" s="1">
        <v>83</v>
      </c>
      <c r="G7" s="1">
        <f t="shared" si="0"/>
        <v>0.01</v>
      </c>
    </row>
    <row r="8" spans="1:7" x14ac:dyDescent="0.15">
      <c r="A8" s="1" t="s">
        <v>10</v>
      </c>
      <c r="B8" s="1">
        <v>84</v>
      </c>
      <c r="C8" s="2" t="s">
        <v>20</v>
      </c>
      <c r="D8" s="2" t="s">
        <v>21</v>
      </c>
      <c r="E8" s="1">
        <v>83</v>
      </c>
      <c r="F8" s="1">
        <v>999</v>
      </c>
      <c r="G8" s="1">
        <f t="shared" si="0"/>
        <v>1</v>
      </c>
    </row>
    <row r="9" spans="1:7" x14ac:dyDescent="0.15">
      <c r="A9" s="1" t="s">
        <v>7</v>
      </c>
      <c r="B9" s="1">
        <v>168</v>
      </c>
      <c r="C9" s="2" t="s">
        <v>22</v>
      </c>
      <c r="D9" s="2" t="s">
        <v>9</v>
      </c>
      <c r="E9" s="1" t="s">
        <v>9</v>
      </c>
      <c r="F9" s="1" t="s">
        <v>9</v>
      </c>
      <c r="G9" s="1" t="e">
        <f t="shared" si="0"/>
        <v>#VALUE!</v>
      </c>
    </row>
    <row r="10" spans="1:7" x14ac:dyDescent="0.15">
      <c r="A10" s="1" t="s">
        <v>7</v>
      </c>
      <c r="B10" s="1">
        <v>168</v>
      </c>
      <c r="C10" s="2" t="s">
        <v>23</v>
      </c>
      <c r="D10" s="2" t="s">
        <v>24</v>
      </c>
      <c r="E10" s="1">
        <v>1679</v>
      </c>
      <c r="F10" s="1">
        <v>1999</v>
      </c>
      <c r="G10" s="1">
        <f t="shared" si="0"/>
        <v>20</v>
      </c>
    </row>
    <row r="11" spans="1:7" x14ac:dyDescent="0.15">
      <c r="A11" s="1" t="s">
        <v>7</v>
      </c>
      <c r="B11" s="1">
        <v>168</v>
      </c>
      <c r="C11" s="2" t="s">
        <v>25</v>
      </c>
      <c r="D11" s="2" t="s">
        <v>26</v>
      </c>
      <c r="E11" s="1">
        <v>167</v>
      </c>
      <c r="F11" s="1">
        <v>999</v>
      </c>
      <c r="G11" s="1">
        <f t="shared" si="0"/>
        <v>1</v>
      </c>
    </row>
    <row r="12" spans="1:7" x14ac:dyDescent="0.15">
      <c r="A12" s="1" t="s">
        <v>7</v>
      </c>
      <c r="B12" s="1">
        <v>168</v>
      </c>
      <c r="C12" s="2" t="s">
        <v>27</v>
      </c>
      <c r="D12" s="2" t="s">
        <v>9</v>
      </c>
      <c r="E12" s="1" t="s">
        <v>9</v>
      </c>
      <c r="F12" s="1" t="s">
        <v>9</v>
      </c>
      <c r="G12" s="1" t="e">
        <f t="shared" si="0"/>
        <v>#VALUE!</v>
      </c>
    </row>
    <row r="13" spans="1:7" x14ac:dyDescent="0.15">
      <c r="A13" s="1" t="s">
        <v>10</v>
      </c>
      <c r="B13" s="1">
        <v>84</v>
      </c>
      <c r="C13" s="2" t="s">
        <v>28</v>
      </c>
      <c r="D13" s="2" t="s">
        <v>9</v>
      </c>
      <c r="E13" s="1" t="s">
        <v>9</v>
      </c>
      <c r="F13" s="1" t="s">
        <v>9</v>
      </c>
      <c r="G13" s="1" t="e">
        <f t="shared" si="0"/>
        <v>#VALUE!</v>
      </c>
    </row>
    <row r="14" spans="1:7" x14ac:dyDescent="0.15">
      <c r="A14" s="1" t="s">
        <v>10</v>
      </c>
      <c r="B14" s="1">
        <v>84</v>
      </c>
      <c r="C14" s="2" t="s">
        <v>29</v>
      </c>
      <c r="D14" s="2" t="s">
        <v>9</v>
      </c>
      <c r="E14" s="1" t="s">
        <v>9</v>
      </c>
      <c r="F14" s="1" t="s">
        <v>9</v>
      </c>
      <c r="G14" s="1" t="e">
        <f t="shared" si="0"/>
        <v>#VALUE!</v>
      </c>
    </row>
    <row r="15" spans="1:7" x14ac:dyDescent="0.15">
      <c r="A15" s="1" t="s">
        <v>10</v>
      </c>
      <c r="B15" s="1">
        <v>84</v>
      </c>
      <c r="C15" s="2" t="s">
        <v>30</v>
      </c>
      <c r="D15" s="2" t="s">
        <v>9</v>
      </c>
      <c r="E15" s="1" t="s">
        <v>9</v>
      </c>
      <c r="F15" s="1" t="s">
        <v>9</v>
      </c>
      <c r="G15" s="1" t="e">
        <f t="shared" si="0"/>
        <v>#VALUE!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7B3DB-6DBC-4FC3-912A-E08EB5B66418}">
  <dimension ref="A1:E13"/>
  <sheetViews>
    <sheetView workbookViewId="0">
      <selection activeCell="C20" sqref="C20"/>
    </sheetView>
  </sheetViews>
  <sheetFormatPr defaultRowHeight="13.5" x14ac:dyDescent="0.15"/>
  <cols>
    <col min="1" max="1" width="10.25" style="1" customWidth="1"/>
    <col min="2" max="2" width="25.75" style="2" customWidth="1"/>
    <col min="3" max="3" width="28.5" style="2" customWidth="1"/>
    <col min="4" max="4" width="7" style="1" customWidth="1"/>
    <col min="5" max="5" width="7.625" style="1" customWidth="1"/>
    <col min="6" max="16384" width="9" style="2"/>
  </cols>
  <sheetData>
    <row r="1" spans="1:5" x14ac:dyDescent="0.15">
      <c r="A1" s="1" t="s">
        <v>31</v>
      </c>
      <c r="B1" s="2" t="s">
        <v>32</v>
      </c>
      <c r="C1" s="2" t="s">
        <v>3</v>
      </c>
      <c r="D1" s="1" t="s">
        <v>33</v>
      </c>
      <c r="E1" s="1" t="s">
        <v>34</v>
      </c>
    </row>
    <row r="2" spans="1:5" x14ac:dyDescent="0.15">
      <c r="A2" s="1">
        <v>0</v>
      </c>
      <c r="B2" s="2" t="s">
        <v>35</v>
      </c>
      <c r="C2" s="2" t="s">
        <v>36</v>
      </c>
      <c r="D2" s="1">
        <v>0</v>
      </c>
      <c r="E2" s="1">
        <v>0</v>
      </c>
    </row>
    <row r="3" spans="1:5" x14ac:dyDescent="0.15">
      <c r="A3" s="1">
        <v>1</v>
      </c>
      <c r="B3" s="2" t="s">
        <v>37</v>
      </c>
      <c r="C3" s="2" t="s">
        <v>38</v>
      </c>
      <c r="D3" s="1">
        <v>0</v>
      </c>
      <c r="E3" s="1">
        <v>1</v>
      </c>
    </row>
    <row r="4" spans="1:5" x14ac:dyDescent="0.15">
      <c r="A4" s="1">
        <v>2</v>
      </c>
      <c r="B4" s="2" t="s">
        <v>39</v>
      </c>
      <c r="C4" s="2" t="s">
        <v>40</v>
      </c>
      <c r="D4" s="1">
        <v>0</v>
      </c>
      <c r="E4" s="1">
        <v>2</v>
      </c>
    </row>
    <row r="5" spans="1:5" x14ac:dyDescent="0.15">
      <c r="A5" s="1">
        <v>3</v>
      </c>
      <c r="B5" s="2" t="s">
        <v>41</v>
      </c>
      <c r="C5" s="2" t="s">
        <v>42</v>
      </c>
      <c r="D5" s="1">
        <v>1</v>
      </c>
      <c r="E5" s="1">
        <v>0</v>
      </c>
    </row>
    <row r="6" spans="1:5" x14ac:dyDescent="0.15">
      <c r="A6" s="1">
        <v>4</v>
      </c>
      <c r="B6" s="2" t="s">
        <v>43</v>
      </c>
      <c r="C6" s="2" t="s">
        <v>44</v>
      </c>
      <c r="D6" s="1">
        <v>1</v>
      </c>
      <c r="E6" s="1">
        <v>1</v>
      </c>
    </row>
    <row r="7" spans="1:5" x14ac:dyDescent="0.15">
      <c r="A7" s="1">
        <v>5</v>
      </c>
      <c r="B7" s="2" t="s">
        <v>45</v>
      </c>
      <c r="C7" s="2" t="s">
        <v>46</v>
      </c>
      <c r="D7" s="1">
        <v>1</v>
      </c>
      <c r="E7" s="1">
        <v>2</v>
      </c>
    </row>
    <row r="8" spans="1:5" x14ac:dyDescent="0.15">
      <c r="A8" s="1">
        <v>6</v>
      </c>
      <c r="B8" s="2" t="s">
        <v>47</v>
      </c>
      <c r="C8" s="2" t="s">
        <v>48</v>
      </c>
      <c r="D8" s="1">
        <v>2</v>
      </c>
      <c r="E8" s="1">
        <v>0</v>
      </c>
    </row>
    <row r="9" spans="1:5" x14ac:dyDescent="0.15">
      <c r="A9" s="1">
        <v>7</v>
      </c>
      <c r="B9" s="2" t="s">
        <v>49</v>
      </c>
      <c r="C9" s="2" t="s">
        <v>50</v>
      </c>
      <c r="D9" s="1">
        <v>2</v>
      </c>
      <c r="E9" s="1">
        <v>1</v>
      </c>
    </row>
    <row r="10" spans="1:5" x14ac:dyDescent="0.15">
      <c r="A10" s="1">
        <v>8</v>
      </c>
      <c r="B10" s="2" t="s">
        <v>51</v>
      </c>
      <c r="C10" s="2" t="s">
        <v>52</v>
      </c>
      <c r="D10" s="1">
        <v>2</v>
      </c>
      <c r="E10" s="1">
        <v>2</v>
      </c>
    </row>
    <row r="11" spans="1:5" x14ac:dyDescent="0.15">
      <c r="A11" s="1">
        <v>9</v>
      </c>
      <c r="B11" s="2" t="s">
        <v>53</v>
      </c>
      <c r="C11" s="2" t="s">
        <v>54</v>
      </c>
      <c r="D11" s="1">
        <v>3</v>
      </c>
      <c r="E11" s="1">
        <v>0</v>
      </c>
    </row>
    <row r="12" spans="1:5" x14ac:dyDescent="0.15">
      <c r="A12" s="1">
        <v>10</v>
      </c>
      <c r="B12" s="2" t="s">
        <v>55</v>
      </c>
      <c r="C12" s="2" t="s">
        <v>56</v>
      </c>
      <c r="D12" s="1" t="s">
        <v>9</v>
      </c>
      <c r="E12" s="1" t="s">
        <v>9</v>
      </c>
    </row>
    <row r="13" spans="1:5" x14ac:dyDescent="0.15">
      <c r="A13" s="1">
        <v>11</v>
      </c>
      <c r="B13" s="2" t="s">
        <v>57</v>
      </c>
      <c r="C13" s="2" t="s">
        <v>58</v>
      </c>
      <c r="D13" s="1" t="s">
        <v>9</v>
      </c>
      <c r="E13" s="1" t="s">
        <v>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D474E-F5E4-43CD-96FE-B7ACDF81539B}">
  <dimension ref="A1:G9"/>
  <sheetViews>
    <sheetView tabSelected="1" workbookViewId="0">
      <selection activeCell="D17" sqref="D17"/>
    </sheetView>
  </sheetViews>
  <sheetFormatPr defaultRowHeight="13.5" x14ac:dyDescent="0.15"/>
  <cols>
    <col min="1" max="5" width="9" style="2"/>
    <col min="6" max="6" width="9.5" style="2" customWidth="1"/>
    <col min="7" max="16384" width="9" style="2"/>
  </cols>
  <sheetData>
    <row r="1" spans="1:7" x14ac:dyDescent="0.15">
      <c r="A1" s="3" t="s">
        <v>59</v>
      </c>
      <c r="B1" s="3" t="s">
        <v>60</v>
      </c>
      <c r="C1" s="3" t="s">
        <v>61</v>
      </c>
      <c r="D1" s="3" t="s">
        <v>62</v>
      </c>
      <c r="E1" s="3" t="s">
        <v>63</v>
      </c>
      <c r="F1" s="3" t="s">
        <v>64</v>
      </c>
      <c r="G1" s="3" t="s">
        <v>65</v>
      </c>
    </row>
    <row r="2" spans="1:7" x14ac:dyDescent="0.15">
      <c r="A2" s="4" t="s">
        <v>66</v>
      </c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  <c r="G2" s="5"/>
    </row>
    <row r="3" spans="1:7" x14ac:dyDescent="0.15">
      <c r="A3" s="4"/>
      <c r="B3" s="4"/>
      <c r="C3" s="5" t="s">
        <v>72</v>
      </c>
      <c r="D3" s="5" t="s">
        <v>73</v>
      </c>
      <c r="E3" s="5" t="s">
        <v>74</v>
      </c>
      <c r="F3" s="5" t="s">
        <v>71</v>
      </c>
      <c r="G3" s="5"/>
    </row>
    <row r="4" spans="1:7" x14ac:dyDescent="0.15">
      <c r="A4" s="6" t="s">
        <v>75</v>
      </c>
      <c r="B4" s="6" t="s">
        <v>76</v>
      </c>
      <c r="C4" s="6" t="s">
        <v>77</v>
      </c>
      <c r="D4" s="6" t="s">
        <v>78</v>
      </c>
      <c r="E4" s="6" t="s">
        <v>70</v>
      </c>
      <c r="F4" s="6" t="s">
        <v>71</v>
      </c>
      <c r="G4" s="6"/>
    </row>
    <row r="5" spans="1:7" x14ac:dyDescent="0.15">
      <c r="A5" s="4" t="s">
        <v>79</v>
      </c>
      <c r="B5" s="4" t="s">
        <v>80</v>
      </c>
      <c r="C5" s="5" t="s">
        <v>81</v>
      </c>
      <c r="D5" s="5" t="s">
        <v>82</v>
      </c>
      <c r="E5" s="5" t="s">
        <v>70</v>
      </c>
      <c r="F5" s="5" t="s">
        <v>83</v>
      </c>
      <c r="G5" s="5" t="s">
        <v>84</v>
      </c>
    </row>
    <row r="6" spans="1:7" x14ac:dyDescent="0.15">
      <c r="A6" s="4"/>
      <c r="B6" s="4"/>
      <c r="C6" s="5" t="s">
        <v>85</v>
      </c>
      <c r="D6" s="5" t="s">
        <v>86</v>
      </c>
      <c r="E6" s="5" t="s">
        <v>87</v>
      </c>
      <c r="F6" s="5" t="s">
        <v>83</v>
      </c>
      <c r="G6" s="5" t="s">
        <v>84</v>
      </c>
    </row>
    <row r="7" spans="1:7" x14ac:dyDescent="0.15">
      <c r="A7" s="4"/>
      <c r="B7" s="5" t="s">
        <v>76</v>
      </c>
      <c r="C7" s="5" t="s">
        <v>88</v>
      </c>
      <c r="D7" s="5" t="s">
        <v>89</v>
      </c>
      <c r="E7" s="5" t="s">
        <v>70</v>
      </c>
      <c r="F7" s="5" t="s">
        <v>71</v>
      </c>
      <c r="G7" s="5"/>
    </row>
    <row r="8" spans="1:7" x14ac:dyDescent="0.15">
      <c r="A8" s="7" t="s">
        <v>90</v>
      </c>
      <c r="B8" s="7" t="s">
        <v>76</v>
      </c>
      <c r="C8" s="6" t="s">
        <v>91</v>
      </c>
      <c r="D8" s="6" t="s">
        <v>92</v>
      </c>
      <c r="E8" s="6" t="s">
        <v>70</v>
      </c>
      <c r="F8" s="6" t="s">
        <v>71</v>
      </c>
      <c r="G8" s="6"/>
    </row>
    <row r="9" spans="1:7" x14ac:dyDescent="0.15">
      <c r="A9" s="7"/>
      <c r="B9" s="7"/>
      <c r="C9" s="6" t="s">
        <v>93</v>
      </c>
      <c r="D9" s="6" t="s">
        <v>94</v>
      </c>
      <c r="E9" s="6" t="s">
        <v>87</v>
      </c>
      <c r="F9" s="6" t="s">
        <v>83</v>
      </c>
      <c r="G9" s="6" t="s">
        <v>95</v>
      </c>
    </row>
  </sheetData>
  <mergeCells count="6">
    <mergeCell ref="A2:A3"/>
    <mergeCell ref="B2:B3"/>
    <mergeCell ref="A5:A7"/>
    <mergeCell ref="B5:B6"/>
    <mergeCell ref="A8:A9"/>
    <mergeCell ref="B8:B9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定时器分配</vt:lpstr>
      <vt:lpstr>中断优先级配置</vt:lpstr>
      <vt:lpstr>任务板引脚统计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tian</cp:lastModifiedBy>
  <dcterms:created xsi:type="dcterms:W3CDTF">2015-01-15T16:55:01Z</dcterms:created>
  <dcterms:modified xsi:type="dcterms:W3CDTF">2021-04-08T15:14:01Z</dcterms:modified>
</cp:coreProperties>
</file>